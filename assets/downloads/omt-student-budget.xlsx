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0F2A4A"/>
      <sz val="16"/>
    </font>
    <font>
      <i val="1"/>
      <color rgb="005B6577"/>
    </font>
    <font>
      <b val="1"/>
      <color rgb="00FFFFFF"/>
    </font>
    <font>
      <b val="1"/>
    </font>
    <font>
      <b val="1"/>
      <color rgb="000F2A4A"/>
    </font>
    <font>
      <b val="1"/>
      <color rgb="000F2A4A"/>
      <sz val="13"/>
    </font>
    <font>
      <i val="1"/>
      <color rgb="005B6577"/>
      <sz val="9"/>
    </font>
  </fonts>
  <fills count="4">
    <fill>
      <patternFill/>
    </fill>
    <fill>
      <patternFill patternType="gray125"/>
    </fill>
    <fill>
      <patternFill patternType="solid">
        <fgColor rgb="000F2A4A"/>
      </patternFill>
    </fill>
    <fill>
      <patternFill patternType="solid">
        <fgColor rgb="00FFF7D6"/>
      </patternFill>
    </fill>
  </fills>
  <borders count="2">
    <border>
      <left/>
      <right/>
      <top/>
      <bottom/>
      <diagonal/>
    </border>
    <border>
      <bottom style="thin">
        <color rgb="00C9D3E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4" fontId="0" fillId="3" borderId="0" pivotButton="0" quotePrefix="0" xfId="0"/>
    <xf numFmtId="4" fontId="0" fillId="0" borderId="0" pivotButton="0" quotePrefix="0" xfId="0"/>
    <xf numFmtId="0" fontId="4" fillId="0" borderId="0" pivotButton="0" quotePrefix="0" xfId="0"/>
    <xf numFmtId="4" fontId="4" fillId="0" borderId="0" pivotButton="0" quotePrefix="0" xfId="0"/>
    <xf numFmtId="0" fontId="5" fillId="0" borderId="0" pivotButton="0" quotePrefix="0" xfId="0"/>
    <xf numFmtId="4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46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Student Monthly Budget</t>
        </is>
      </c>
    </row>
    <row r="2">
      <c r="A2" s="2" t="inlineStr">
        <is>
          <t>Type in the yellow cells. Totals update automatically.</t>
        </is>
      </c>
    </row>
    <row r="4">
      <c r="A4" s="3" t="inlineStr">
        <is>
          <t>Income</t>
        </is>
      </c>
      <c r="B4" s="3" t="inlineStr">
        <is>
          <t>Planned</t>
        </is>
      </c>
      <c r="C4" s="3" t="inlineStr">
        <is>
          <t>Actual</t>
        </is>
      </c>
      <c r="D4" s="3" t="inlineStr">
        <is>
          <t>Difference</t>
        </is>
      </c>
    </row>
    <row r="5">
      <c r="A5" t="inlineStr">
        <is>
          <t>Allowance / family support</t>
        </is>
      </c>
      <c r="B5" s="4" t="n">
        <v>0</v>
      </c>
      <c r="C5" s="4" t="n">
        <v>0</v>
      </c>
      <c r="D5" s="5">
        <f>C5-B5</f>
        <v/>
      </c>
    </row>
    <row r="6">
      <c r="A6" t="inlineStr">
        <is>
          <t>Part-time job</t>
        </is>
      </c>
      <c r="B6" s="4" t="n">
        <v>0</v>
      </c>
      <c r="C6" s="4" t="n">
        <v>0</v>
      </c>
      <c r="D6" s="5">
        <f>C6-B6</f>
        <v/>
      </c>
    </row>
    <row r="7">
      <c r="A7" t="inlineStr">
        <is>
          <t>Scholarship / bursary</t>
        </is>
      </c>
      <c r="B7" s="4" t="n">
        <v>0</v>
      </c>
      <c r="C7" s="4" t="n">
        <v>0</v>
      </c>
      <c r="D7" s="5">
        <f>C7-B7</f>
        <v/>
      </c>
    </row>
    <row r="8">
      <c r="A8" t="inlineStr">
        <is>
          <t>Other income</t>
        </is>
      </c>
      <c r="B8" s="4" t="n">
        <v>0</v>
      </c>
      <c r="C8" s="4" t="n">
        <v>0</v>
      </c>
      <c r="D8" s="5">
        <f>C8-B8</f>
        <v/>
      </c>
    </row>
    <row r="9">
      <c r="A9" s="6" t="inlineStr">
        <is>
          <t>Total income</t>
        </is>
      </c>
      <c r="B9" s="7">
        <f>SUM(B5:B8)</f>
        <v/>
      </c>
      <c r="C9" s="7">
        <f>SUM(C5:C8)</f>
        <v/>
      </c>
      <c r="D9" s="7">
        <f>SUM(D5:D8)</f>
        <v/>
      </c>
    </row>
    <row r="11">
      <c r="A11" s="3" t="inlineStr">
        <is>
          <t>Spending category</t>
        </is>
      </c>
      <c r="B11" s="3" t="inlineStr">
        <is>
          <t>Planned</t>
        </is>
      </c>
      <c r="C11" s="3" t="inlineStr">
        <is>
          <t>Actual (from Transactions)</t>
        </is>
      </c>
      <c r="D11" s="3" t="inlineStr">
        <is>
          <t>Difference</t>
        </is>
      </c>
    </row>
    <row r="12">
      <c r="A12" t="inlineStr">
        <is>
          <t>Rent / hostel</t>
        </is>
      </c>
      <c r="B12" s="4" t="n">
        <v>0</v>
      </c>
      <c r="C12" s="5">
        <f>SUMIF(Transactions!$C:$C,A12,Transactions!$D:$D)</f>
        <v/>
      </c>
      <c r="D12" s="5">
        <f>B12-C12</f>
        <v/>
      </c>
    </row>
    <row r="13">
      <c r="A13" t="inlineStr">
        <is>
          <t>Food</t>
        </is>
      </c>
      <c r="B13" s="4" t="n">
        <v>0</v>
      </c>
      <c r="C13" s="5">
        <f>SUMIF(Transactions!$C:$C,A13,Transactions!$D:$D)</f>
        <v/>
      </c>
      <c r="D13" s="5">
        <f>B13-C13</f>
        <v/>
      </c>
    </row>
    <row r="14">
      <c r="A14" t="inlineStr">
        <is>
          <t>Transport</t>
        </is>
      </c>
      <c r="B14" s="4" t="n">
        <v>0</v>
      </c>
      <c r="C14" s="5">
        <f>SUMIF(Transactions!$C:$C,A14,Transactions!$D:$D)</f>
        <v/>
      </c>
      <c r="D14" s="5">
        <f>B14-C14</f>
        <v/>
      </c>
    </row>
    <row r="15">
      <c r="A15" t="inlineStr">
        <is>
          <t>Books &amp; supplies</t>
        </is>
      </c>
      <c r="B15" s="4" t="n">
        <v>0</v>
      </c>
      <c r="C15" s="5">
        <f>SUMIF(Transactions!$C:$C,A15,Transactions!$D:$D)</f>
        <v/>
      </c>
      <c r="D15" s="5">
        <f>B15-C15</f>
        <v/>
      </c>
    </row>
    <row r="16">
      <c r="A16" t="inlineStr">
        <is>
          <t>Phone &amp; data</t>
        </is>
      </c>
      <c r="B16" s="4" t="n">
        <v>0</v>
      </c>
      <c r="C16" s="5">
        <f>SUMIF(Transactions!$C:$C,A16,Transactions!$D:$D)</f>
        <v/>
      </c>
      <c r="D16" s="5">
        <f>B16-C16</f>
        <v/>
      </c>
    </row>
    <row r="17">
      <c r="A17" t="inlineStr">
        <is>
          <t>Personal care</t>
        </is>
      </c>
      <c r="B17" s="4" t="n">
        <v>0</v>
      </c>
      <c r="C17" s="5">
        <f>SUMIF(Transactions!$C:$C,A17,Transactions!$D:$D)</f>
        <v/>
      </c>
      <c r="D17" s="5">
        <f>B17-C17</f>
        <v/>
      </c>
    </row>
    <row r="18">
      <c r="A18" t="inlineStr">
        <is>
          <t>Entertainment</t>
        </is>
      </c>
      <c r="B18" s="4" t="n">
        <v>0</v>
      </c>
      <c r="C18" s="5">
        <f>SUMIF(Transactions!$C:$C,A18,Transactions!$D:$D)</f>
        <v/>
      </c>
      <c r="D18" s="5">
        <f>B18-C18</f>
        <v/>
      </c>
    </row>
    <row r="19">
      <c r="A19" t="inlineStr">
        <is>
          <t>Savings</t>
        </is>
      </c>
      <c r="B19" s="4" t="n">
        <v>0</v>
      </c>
      <c r="C19" s="5">
        <f>SUMIF(Transactions!$C:$C,A19,Transactions!$D:$D)</f>
        <v/>
      </c>
      <c r="D19" s="5">
        <f>B19-C19</f>
        <v/>
      </c>
    </row>
    <row r="20">
      <c r="A20" t="inlineStr">
        <is>
          <t>Other</t>
        </is>
      </c>
      <c r="B20" s="4" t="n">
        <v>0</v>
      </c>
      <c r="C20" s="5">
        <f>SUMIF(Transactions!$C:$C,A20,Transactions!$D:$D)</f>
        <v/>
      </c>
      <c r="D20" s="5">
        <f>B20-C20</f>
        <v/>
      </c>
    </row>
    <row r="21">
      <c r="A21" s="6" t="inlineStr">
        <is>
          <t>Total spending</t>
        </is>
      </c>
      <c r="B21" s="7">
        <f>SUM(B12:B20)</f>
        <v/>
      </c>
      <c r="C21" s="7">
        <f>SUM(C12:C20)</f>
        <v/>
      </c>
      <c r="D21" s="7">
        <f>SUM(D12:D20)</f>
        <v/>
      </c>
    </row>
    <row r="23">
      <c r="A23" s="8" t="inlineStr">
        <is>
          <t>Remaining balance (actual income − actual spending)</t>
        </is>
      </c>
      <c r="C23" s="9">
        <f>C9-C21</f>
        <v/>
      </c>
    </row>
    <row r="25">
      <c r="A25" s="10" t="inlineStr">
        <is>
          <t>Template by OMT WORKING GROUP — free to use and adapt (CC BY 4.0).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2" customWidth="1" min="3" max="3"/>
    <col width="14" customWidth="1" min="4" max="4"/>
  </cols>
  <sheetData>
    <row r="1">
      <c r="A1" s="1" t="inlineStr">
        <is>
          <t>Transactions</t>
        </is>
      </c>
    </row>
    <row r="2">
      <c r="A2" s="2" t="inlineStr">
        <is>
          <t>Log each purchase. The Category must match a name on the Budget sheet.</t>
        </is>
      </c>
    </row>
    <row r="4">
      <c r="A4" s="3" t="inlineStr">
        <is>
          <t>Date</t>
        </is>
      </c>
      <c r="B4" s="3" t="inlineStr">
        <is>
          <t>Description</t>
        </is>
      </c>
      <c r="C4" s="3" t="inlineStr">
        <is>
          <t>Category</t>
        </is>
      </c>
      <c r="D4" s="3" t="inlineStr">
        <is>
          <t>Amount</t>
        </is>
      </c>
    </row>
    <row r="5">
      <c r="A5" t="inlineStr">
        <is>
          <t>2026-10-01</t>
        </is>
      </c>
      <c r="B5" t="inlineStr">
        <is>
          <t>Hostel fee (example — delete me)</t>
        </is>
      </c>
      <c r="C5" t="inlineStr">
        <is>
          <t>Rent / hostel</t>
        </is>
      </c>
      <c r="D5" s="5" t="n">
        <v>0</v>
      </c>
    </row>
    <row r="6">
      <c r="A6" t="inlineStr">
        <is>
          <t>2026-10-02</t>
        </is>
      </c>
      <c r="B6" t="inlineStr">
        <is>
          <t>Groceries (example — delete me)</t>
        </is>
      </c>
      <c r="C6" t="inlineStr">
        <is>
          <t>Food</t>
        </is>
      </c>
      <c r="D6" s="5" t="n">
        <v>0</v>
      </c>
    </row>
  </sheetData>
  <dataValidations count="1">
    <dataValidation sqref="C5:C500" showDropDown="0" showInputMessage="0" showErrorMessage="0" allowBlank="1" type="list">
      <formula1>=Budget!$A$12:$A$20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2026-10-15T14:45:44Z</dcterms:created>
  <dcterms:modified xmlns:dcterms="http://purl.org/dc/terms/" xmlns:xsi="http://www.w3.org/2001/XMLSchema-instance" xsi:type="dcterms:W3CDTF">2026-10-15T14:45:44Z</dcterms:modified>
</cp:coreProperties>
</file>